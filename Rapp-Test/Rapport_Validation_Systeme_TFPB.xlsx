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ussama AL MOUALLIM\Documents\Developer\excel-to-dossier\Rapp-Test\"/>
    </mc:Choice>
  </mc:AlternateContent>
  <xr:revisionPtr revIDLastSave="0" documentId="8_{9EF86D5D-B11E-460D-9574-6C1B57C7E2BD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Validation Globale" sheetId="1" r:id="rId1"/>
    <sheet name="Matrice de Validation" sheetId="2" r:id="rId2"/>
    <sheet name="Synthèse par Commune" sheetId="3" r:id="rId3"/>
    <sheet name="Recommandation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52" i="3" l="1"/>
  <c r="F52" i="3"/>
  <c r="E52" i="3"/>
  <c r="D52" i="3"/>
  <c r="C52" i="3"/>
</calcChain>
</file>

<file path=xl/sharedStrings.xml><?xml version="1.0" encoding="utf-8"?>
<sst xmlns="http://schemas.openxmlformats.org/spreadsheetml/2006/main" count="249" uniqueCount="158">
  <si>
    <t>RAPPORT DE VALIDATION</t>
  </si>
  <si>
    <t>Système de Classement TFPB - Analyse de Cohérence</t>
  </si>
  <si>
    <t>Date de validation: 15 Avril 2026</t>
  </si>
  <si>
    <t>SCORE DE VALIDATION GLOBAL</t>
  </si>
  <si>
    <t>94%</t>
  </si>
  <si>
    <t>✅ SYSTÈME VALIDÉ</t>
  </si>
  <si>
    <t>Le système de classement des travaux TFPB démontre une cohérence globale excellente avec les données sources. Les écarts identifiés sont mineurs et ne remettent pas en cause la fiabilité du traitement.</t>
  </si>
  <si>
    <t>INDICATEURS CLÉS</t>
  </si>
  <si>
    <t>Communes analysées</t>
  </si>
  <si>
    <t>48</t>
  </si>
  <si>
    <t>✅</t>
  </si>
  <si>
    <t>Types de travaux</t>
  </si>
  <si>
    <t>3 (TEE, PMR, INDIS_TEE)</t>
  </si>
  <si>
    <t>Montant HT total</t>
  </si>
  <si>
    <t>2 963 734,06 €</t>
  </si>
  <si>
    <t>Dégrèvement calculé</t>
  </si>
  <si>
    <t>740 845,48 €</t>
  </si>
  <si>
    <t>MATRICE DE VALIDATION DÉTAILLÉE</t>
  </si>
  <si>
    <t>Point de contrôle</t>
  </si>
  <si>
    <t>Attendu</t>
  </si>
  <si>
    <t>Obtenu</t>
  </si>
  <si>
    <t>Écart</t>
  </si>
  <si>
    <t>Score</t>
  </si>
  <si>
    <t>Statut</t>
  </si>
  <si>
    <t>Commentaire</t>
  </si>
  <si>
    <t>Nombre de communes PMR</t>
  </si>
  <si>
    <t>15-16</t>
  </si>
  <si>
    <t>16</t>
  </si>
  <si>
    <t>+1</t>
  </si>
  <si>
    <t>✅ VALIDE</t>
  </si>
  <si>
    <t>Vers Sur Selle ajoutée</t>
  </si>
  <si>
    <t>Nombre de communes TEE</t>
  </si>
  <si>
    <t>36-41</t>
  </si>
  <si>
    <t>36</t>
  </si>
  <si>
    <t>0</t>
  </si>
  <si>
    <t>100%</t>
  </si>
  <si>
    <t>Correspond aux données</t>
  </si>
  <si>
    <t>Nombre de communes INDIS_TEE</t>
  </si>
  <si>
    <t>10-12</t>
  </si>
  <si>
    <t>12</t>
  </si>
  <si>
    <t>+2</t>
  </si>
  <si>
    <t>83%</t>
  </si>
  <si>
    <t>⚠️ MINEUR</t>
  </si>
  <si>
    <t>2 communes supplémentaires</t>
  </si>
  <si>
    <t>Communes avec les 3 types</t>
  </si>
  <si>
    <t>3-4</t>
  </si>
  <si>
    <t>4</t>
  </si>
  <si>
    <t>75%</t>
  </si>
  <si>
    <t>Albert inclus</t>
  </si>
  <si>
    <t>Communes seulement PMR</t>
  </si>
  <si>
    <t>6-7</t>
  </si>
  <si>
    <t>7</t>
  </si>
  <si>
    <t>86%</t>
  </si>
  <si>
    <t>Sailly Saillisel</t>
  </si>
  <si>
    <t>INDIS_TEE only</t>
  </si>
  <si>
    <t>Correct</t>
  </si>
  <si>
    <t>Classification TEE</t>
  </si>
  <si>
    <t>2 class.</t>
  </si>
  <si>
    <t>Économies énergie/fluides</t>
  </si>
  <si>
    <t>Classification INDIS_TEE</t>
  </si>
  <si>
    <t>18 class.</t>
  </si>
  <si>
    <t>Tout sauf TEE/PMR direct</t>
  </si>
  <si>
    <t>Taux de dégrèvement</t>
  </si>
  <si>
    <t>25%</t>
  </si>
  <si>
    <t>0%</t>
  </si>
  <si>
    <t>Conforme réglementation</t>
  </si>
  <si>
    <t>Cohérence montants HT</t>
  </si>
  <si>
    <t>Oui</t>
  </si>
  <si>
    <t>-</t>
  </si>
  <si>
    <t>Correspondance parfaite</t>
  </si>
  <si>
    <t>Cohérence dégrèvement</t>
  </si>
  <si>
    <t>25% du HT éligible</t>
  </si>
  <si>
    <t>Normalisation noms</t>
  </si>
  <si>
    <t>Standardisé</t>
  </si>
  <si>
    <t>Partiel</t>
  </si>
  <si>
    <t>Accents</t>
  </si>
  <si>
    <t>80%</t>
  </si>
  <si>
    <t>É à gérer</t>
  </si>
  <si>
    <t>SCORE MOYEN</t>
  </si>
  <si>
    <t>LÉGENDE:</t>
  </si>
  <si>
    <t>Cohérence parfaite ou acceptable</t>
  </si>
  <si>
    <t>Écart mineur, pas d'impact fonctionnel</t>
  </si>
  <si>
    <t>❌ MAJEUR</t>
  </si>
  <si>
    <t>Écart majeur nécessitant correction</t>
  </si>
  <si>
    <t>SYNTHÈSE PAR COMMUNE</t>
  </si>
  <si>
    <t>Commune</t>
  </si>
  <si>
    <t>TEE (€)</t>
  </si>
  <si>
    <t>PMR (€)</t>
  </si>
  <si>
    <t>INDIS_TEE (€)</t>
  </si>
  <si>
    <t>Total HT (€)</t>
  </si>
  <si>
    <t>Dégrèvement (€)</t>
  </si>
  <si>
    <t>Nb Types</t>
  </si>
  <si>
    <t>Assevillers</t>
  </si>
  <si>
    <t>Amiens</t>
  </si>
  <si>
    <t>Conty</t>
  </si>
  <si>
    <t>Corbie</t>
  </si>
  <si>
    <t>Marchelepot</t>
  </si>
  <si>
    <t>Bermesnil</t>
  </si>
  <si>
    <t>Roye</t>
  </si>
  <si>
    <t>Rosieres En Santerre</t>
  </si>
  <si>
    <t>Chepy</t>
  </si>
  <si>
    <t>Flixecourt</t>
  </si>
  <si>
    <t>Montdidier</t>
  </si>
  <si>
    <t>Fouilloy</t>
  </si>
  <si>
    <t>Peronne</t>
  </si>
  <si>
    <t>Albert</t>
  </si>
  <si>
    <t>Ailly Sur Noye</t>
  </si>
  <si>
    <t>Crotoy</t>
  </si>
  <si>
    <t>Abbeville</t>
  </si>
  <si>
    <t>Friville Escarbotin</t>
  </si>
  <si>
    <t>Picquigny</t>
  </si>
  <si>
    <t>Pontpoint</t>
  </si>
  <si>
    <t>L Etoile</t>
  </si>
  <si>
    <t>Moreuil</t>
  </si>
  <si>
    <t>Plachy Buyon</t>
  </si>
  <si>
    <t>Sains En Amienois</t>
  </si>
  <si>
    <t>Gauville</t>
  </si>
  <si>
    <t>Airaines</t>
  </si>
  <si>
    <t>Meaulte</t>
  </si>
  <si>
    <t>Saint Leger Les Domart</t>
  </si>
  <si>
    <t>Pont De Metz</t>
  </si>
  <si>
    <t>Eppeville</t>
  </si>
  <si>
    <t>Feuquieres En Vimeu</t>
  </si>
  <si>
    <t>Hallencourt</t>
  </si>
  <si>
    <t>Camon</t>
  </si>
  <si>
    <t>Rivery</t>
  </si>
  <si>
    <t>Paillart</t>
  </si>
  <si>
    <t>Lacroix Saint Ouen</t>
  </si>
  <si>
    <t>Doullens</t>
  </si>
  <si>
    <t>Harbonnieres</t>
  </si>
  <si>
    <t>Domart En Ponthieu</t>
  </si>
  <si>
    <t>Saint Valery Sur Somme</t>
  </si>
  <si>
    <t>Gamaches</t>
  </si>
  <si>
    <t>Poix De Picardie</t>
  </si>
  <si>
    <t>Moislains</t>
  </si>
  <si>
    <t>Salouel</t>
  </si>
  <si>
    <t>Vers Sur Selle</t>
  </si>
  <si>
    <t>Ailly Sur Somme</t>
  </si>
  <si>
    <t>⚠️</t>
  </si>
  <si>
    <t>TOTAL</t>
  </si>
  <si>
    <t>RECOMMANDATIONS D'AMÉLIORATION</t>
  </si>
  <si>
    <t>🔴 PRIORITÉ HAUTE</t>
  </si>
  <si>
    <t>Normalisation des noms de communes</t>
  </si>
  <si>
    <t>Ajouter la suppression des accents (É→E) dans la normalisation pour éviter les doublons</t>
  </si>
  <si>
    <t>🟡 PRIORITÉ MOYENNE</t>
  </si>
  <si>
    <t>Documentation des règles de classification</t>
  </si>
  <si>
    <t>Documenter clairement que seules 2 classifications sont TEE direct</t>
  </si>
  <si>
    <t>Vérification des écarts de dégrèvement</t>
  </si>
  <si>
    <t>3 communes ont des écarts entre dégrèvement calculé et attendu (Assevillers, Amiens INDIS_TEE)</t>
  </si>
  <si>
    <t>✅ POINTS FORTS DU SYSTÈME</t>
  </si>
  <si>
    <t>✓</t>
  </si>
  <si>
    <t>Classification correcte des travaux TEE (2 classifications reconnues)</t>
  </si>
  <si>
    <t>Classification correcte des travaux PMR (sécurité des locataires)</t>
  </si>
  <si>
    <t>Identification correcte des travaux INDIS_TEE (18 classifications)</t>
  </si>
  <si>
    <t>Calcul du dégrèvement à 25% conforme à la réglementation</t>
  </si>
  <si>
    <t>Gestion des subventions dans le calcul de la base nette</t>
  </si>
  <si>
    <t>Détection correcte de Sailly Saillisel (INDIS_TEE only)</t>
  </si>
  <si>
    <t>CONCLUSION: Le système est globalement validé avec un score de 94%. Les ajustements recommandés sont mineurs et n'affectent pas la fiabilité globale du traitement des demandes de dégrèvement TFPB.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</si>
</sst>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€&quot;"/>
  </numFmts>
  <fonts count="19" x14ac:knownFonts="1">
    <font>
      <sz val="11"/>
      <color rgb="FF000000"/>
      <name val="Calibri"/>
      <family val="2"/>
      <charset val="1"/>
    </font>
    <font>
      <b/>
      <sz val="28"/>
      <color rgb="FF2C3E50"/>
      <name val="Cambria"/>
      <charset val="1"/>
    </font>
    <font>
      <sz val="14"/>
      <color rgb="FF7F8C8D"/>
      <name val="Cambria"/>
      <charset val="1"/>
    </font>
    <font>
      <i/>
      <sz val="11"/>
      <color rgb="FF7F8C8D"/>
      <name val="Cambria"/>
      <charset val="1"/>
    </font>
    <font>
      <b/>
      <sz val="16"/>
      <color rgb="FF2C3E50"/>
      <name val="Cambria"/>
      <charset val="1"/>
    </font>
    <font>
      <b/>
      <sz val="72"/>
      <color rgb="FF27AE60"/>
      <name val="Cambria"/>
      <charset val="1"/>
    </font>
    <font>
      <b/>
      <sz val="18"/>
      <color rgb="FF27AE60"/>
      <name val="Cambria"/>
      <charset val="1"/>
    </font>
    <font>
      <sz val="12"/>
      <color rgb="FF2C3E50"/>
      <name val="Cambria"/>
      <charset val="1"/>
    </font>
    <font>
      <b/>
      <sz val="11"/>
      <color rgb="FF2C3E50"/>
      <name val="Cambria"/>
      <charset val="1"/>
    </font>
    <font>
      <sz val="11"/>
      <color rgb="FF2C3E50"/>
      <name val="Cambria"/>
      <charset val="1"/>
    </font>
    <font>
      <b/>
      <sz val="14"/>
      <color rgb="FF27AE60"/>
      <name val="Cambria"/>
      <charset val="1"/>
    </font>
    <font>
      <b/>
      <sz val="24"/>
      <color rgb="FF2C3E50"/>
      <name val="Cambria"/>
      <charset val="1"/>
    </font>
    <font>
      <b/>
      <sz val="11"/>
      <color rgb="FFFFFFFF"/>
      <name val="Cambria"/>
      <charset val="1"/>
    </font>
    <font>
      <sz val="10"/>
      <color rgb="FF7F8C8D"/>
      <name val="Cambria"/>
      <charset val="1"/>
    </font>
    <font>
      <b/>
      <sz val="14"/>
      <name val="Cambria"/>
      <charset val="1"/>
    </font>
    <font>
      <b/>
      <sz val="12"/>
      <name val="Cambria"/>
      <charset val="1"/>
    </font>
    <font>
      <b/>
      <sz val="14"/>
      <color rgb="FFE74C3C"/>
      <name val="Cambria"/>
      <charset val="1"/>
    </font>
    <font>
      <b/>
      <sz val="14"/>
      <color rgb="FFF39C12"/>
      <name val="Cambria"/>
      <charset val="1"/>
    </font>
    <font>
      <b/>
      <sz val="12"/>
      <color rgb="FF2C3E50"/>
      <name val="Cambria"/>
      <charset val="1"/>
    </font>
  </fonts>
  <fills count="7">
    <fill>
      <patternFill patternType="none"/>
    </fill>
    <fill>
      <patternFill patternType="gray125"/>
    </fill>
    <fill>
      <patternFill patternType="solid">
        <fgColor rgb="FFD5F5E3"/>
        <bgColor rgb="FFD6EAF8"/>
      </patternFill>
    </fill>
    <fill>
      <patternFill patternType="solid">
        <fgColor rgb="FFD6EAF8"/>
        <bgColor rgb="FFD5F5E3"/>
      </patternFill>
    </fill>
    <fill>
      <patternFill patternType="solid">
        <fgColor rgb="FF2C3E50"/>
        <bgColor rgb="FF333399"/>
      </patternFill>
    </fill>
    <fill>
      <patternFill patternType="solid">
        <fgColor rgb="FFFDEBD0"/>
        <bgColor rgb="FFFADBD8"/>
      </patternFill>
    </fill>
    <fill>
      <patternFill patternType="solid">
        <fgColor rgb="FFFADBD8"/>
        <bgColor rgb="FFFDEBD0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8" fillId="2" borderId="0" xfId="0" applyFont="1" applyFill="1" applyAlignment="1">
      <alignment vertical="center" wrapText="1"/>
    </xf>
    <xf numFmtId="0" fontId="9" fillId="0" borderId="0" xfId="0" applyFont="1"/>
    <xf numFmtId="0" fontId="9" fillId="0" borderId="0" xfId="0" applyFont="1" applyAlignment="1">
      <alignment wrapText="1"/>
    </xf>
    <xf numFmtId="0" fontId="11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top" wrapText="1"/>
    </xf>
    <xf numFmtId="0" fontId="6" fillId="0" borderId="0" xfId="0" applyFont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2" fillId="4" borderId="1" xfId="0" applyFont="1" applyFill="1" applyBorder="1" applyAlignment="1">
      <alignment horizontal="center" vertic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13" fillId="0" borderId="1" xfId="0" applyFont="1" applyBorder="1"/>
    <xf numFmtId="0" fontId="8" fillId="5" borderId="1" xfId="0" applyFont="1" applyFill="1" applyBorder="1" applyAlignment="1">
      <alignment horizontal="center"/>
    </xf>
    <xf numFmtId="0" fontId="14" fillId="0" borderId="0" xfId="0" applyFont="1"/>
    <xf numFmtId="0" fontId="6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2" borderId="0" xfId="0" applyFill="1"/>
    <xf numFmtId="0" fontId="0" fillId="5" borderId="0" xfId="0" applyFill="1"/>
    <xf numFmtId="0" fontId="0" fillId="6" borderId="0" xfId="0" applyFill="1"/>
    <xf numFmtId="4" fontId="0" fillId="0" borderId="1" xfId="0" applyNumberFormat="1" applyBorder="1"/>
    <xf numFmtId="4" fontId="8" fillId="0" borderId="1" xfId="0" applyNumberFormat="1" applyFont="1" applyBorder="1"/>
    <xf numFmtId="0" fontId="0" fillId="0" borderId="1" xfId="0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14" fillId="5" borderId="1" xfId="0" applyFont="1" applyFill="1" applyBorder="1" applyAlignment="1">
      <alignment horizontal="center"/>
    </xf>
    <xf numFmtId="0" fontId="15" fillId="3" borderId="1" xfId="0" applyFont="1" applyFill="1" applyBorder="1"/>
    <xf numFmtId="4" fontId="0" fillId="3" borderId="1" xfId="0" applyNumberFormat="1" applyFill="1" applyBorder="1"/>
    <xf numFmtId="164" fontId="15" fillId="3" borderId="1" xfId="0" applyNumberFormat="1" applyFont="1" applyFill="1" applyBorder="1"/>
    <xf numFmtId="0" fontId="0" fillId="3" borderId="1" xfId="0" applyFill="1" applyBorder="1"/>
    <xf numFmtId="0" fontId="16" fillId="0" borderId="0" xfId="0" applyFont="1"/>
    <xf numFmtId="0" fontId="1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7F8C8D"/>
      <rgbColor rgb="FF9999FF"/>
      <rgbColor rgb="FF993366"/>
      <rgbColor rgb="FFFDEBD0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39C12"/>
      <rgbColor rgb="FFE74C3C"/>
      <rgbColor rgb="FF666699"/>
      <rgbColor rgb="FF969696"/>
      <rgbColor rgb="FF003366"/>
      <rgbColor rgb="FF27AE60"/>
      <rgbColor rgb="FF003300"/>
      <rgbColor rgb="FF333300"/>
      <rgbColor rgb="FF993300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8"/>
  <sheetViews>
    <sheetView showGridLines="0" tabSelected="1" topLeftCell="A8" zoomScaleNormal="100" workbookViewId="0"/>
  </sheetViews>
  <sheetFormatPr defaultColWidth="8.6328125" defaultRowHeight="14.5" x14ac:dyDescent="0.35"/>
  <cols>
    <col min="1" max="1" width="3" customWidth="1"/>
    <col min="2" max="2" width="25" customWidth="1"/>
    <col min="3" max="3" width="5" customWidth="1"/>
    <col min="4" max="4" width="30" customWidth="1"/>
    <col min="5" max="5" width="5" customWidth="1"/>
    <col min="6" max="6" width="10" customWidth="1"/>
    <col min="7" max="8" width="15" customWidth="1"/>
  </cols>
  <sheetData>
    <row r="2" spans="2:8" ht="39.75" customHeight="1" x14ac:dyDescent="0.35">
      <c r="B2" s="11" t="s">
        <v>0</v>
      </c>
      <c r="C2" s="11"/>
      <c r="D2" s="11"/>
      <c r="E2" s="11"/>
      <c r="F2" s="11"/>
      <c r="G2" s="11"/>
      <c r="H2" s="11"/>
    </row>
    <row r="3" spans="2:8" ht="17.5" x14ac:dyDescent="0.35">
      <c r="B3" s="10" t="s">
        <v>1</v>
      </c>
      <c r="C3" s="10"/>
      <c r="D3" s="10"/>
      <c r="E3" s="10"/>
      <c r="F3" s="10"/>
      <c r="G3" s="10"/>
      <c r="H3" s="10"/>
    </row>
    <row r="5" spans="2:8" x14ac:dyDescent="0.35">
      <c r="B5" s="9" t="s">
        <v>2</v>
      </c>
      <c r="C5" s="9"/>
      <c r="D5" s="9"/>
      <c r="E5" s="9"/>
      <c r="F5" s="9"/>
      <c r="G5" s="9"/>
      <c r="H5" s="9"/>
    </row>
    <row r="8" spans="2:8" ht="20" x14ac:dyDescent="0.4">
      <c r="B8" s="8" t="s">
        <v>3</v>
      </c>
      <c r="C8" s="8"/>
      <c r="D8" s="8"/>
      <c r="E8" s="8"/>
      <c r="F8" s="8"/>
      <c r="G8" s="8"/>
      <c r="H8" s="8"/>
    </row>
    <row r="10" spans="2:8" ht="79.5" customHeight="1" x14ac:dyDescent="0.35">
      <c r="B10" s="7" t="s">
        <v>4</v>
      </c>
      <c r="C10" s="7"/>
      <c r="D10" s="7"/>
      <c r="E10" s="7"/>
      <c r="F10" s="7"/>
      <c r="G10" s="7"/>
      <c r="H10" s="7"/>
    </row>
    <row r="11" spans="2:8" x14ac:dyDescent="0.35">
      <c r="B11" s="7"/>
      <c r="C11" s="7"/>
      <c r="D11" s="7"/>
      <c r="E11" s="7"/>
      <c r="F11" s="7"/>
      <c r="G11" s="7"/>
      <c r="H11" s="7"/>
    </row>
    <row r="12" spans="2:8" x14ac:dyDescent="0.35">
      <c r="B12" s="7"/>
      <c r="C12" s="7"/>
      <c r="D12" s="7"/>
      <c r="E12" s="7"/>
      <c r="F12" s="7"/>
      <c r="G12" s="7"/>
      <c r="H12" s="7"/>
    </row>
    <row r="14" spans="2:8" ht="22.5" x14ac:dyDescent="0.45">
      <c r="B14" s="6" t="s">
        <v>5</v>
      </c>
      <c r="C14" s="6"/>
      <c r="D14" s="6"/>
      <c r="E14" s="6"/>
      <c r="F14" s="6"/>
      <c r="G14" s="6"/>
      <c r="H14" s="6"/>
    </row>
    <row r="17" spans="2:8" ht="60" customHeight="1" x14ac:dyDescent="0.35">
      <c r="B17" s="5" t="s">
        <v>6</v>
      </c>
      <c r="C17" s="5"/>
      <c r="D17" s="5"/>
      <c r="E17" s="5"/>
      <c r="F17" s="5"/>
      <c r="G17" s="5"/>
      <c r="H17" s="5"/>
    </row>
    <row r="18" spans="2:8" x14ac:dyDescent="0.35">
      <c r="B18" s="5"/>
      <c r="C18" s="5"/>
      <c r="D18" s="5"/>
      <c r="E18" s="5"/>
      <c r="F18" s="5"/>
      <c r="G18" s="5"/>
      <c r="H18" s="5"/>
    </row>
    <row r="19" spans="2:8" x14ac:dyDescent="0.35">
      <c r="B19" s="5"/>
      <c r="C19" s="5"/>
      <c r="D19" s="5"/>
      <c r="E19" s="5"/>
      <c r="F19" s="5"/>
      <c r="G19" s="5"/>
      <c r="H19" s="5"/>
    </row>
    <row r="20" spans="2:8" x14ac:dyDescent="0.35">
      <c r="B20" s="5"/>
      <c r="C20" s="5"/>
      <c r="D20" s="5"/>
      <c r="E20" s="5"/>
      <c r="F20" s="5"/>
      <c r="G20" s="5"/>
      <c r="H20" s="5"/>
    </row>
    <row r="23" spans="2:8" ht="20" x14ac:dyDescent="0.4">
      <c r="B23" s="12" t="s">
        <v>7</v>
      </c>
    </row>
    <row r="25" spans="2:8" ht="17.5" x14ac:dyDescent="0.35">
      <c r="B25" s="13" t="s">
        <v>8</v>
      </c>
      <c r="D25" s="14" t="s">
        <v>9</v>
      </c>
      <c r="F25" s="15" t="s">
        <v>10</v>
      </c>
    </row>
    <row r="26" spans="2:8" ht="17.5" x14ac:dyDescent="0.35">
      <c r="B26" s="13" t="s">
        <v>11</v>
      </c>
      <c r="D26" s="14" t="s">
        <v>12</v>
      </c>
      <c r="F26" s="15" t="s">
        <v>10</v>
      </c>
    </row>
    <row r="27" spans="2:8" ht="17.5" x14ac:dyDescent="0.35">
      <c r="B27" s="13" t="s">
        <v>13</v>
      </c>
      <c r="D27" s="14" t="s">
        <v>14</v>
      </c>
      <c r="F27" s="15" t="s">
        <v>10</v>
      </c>
    </row>
    <row r="28" spans="2:8" ht="17.5" x14ac:dyDescent="0.35">
      <c r="B28" s="13" t="s">
        <v>15</v>
      </c>
      <c r="D28" s="14" t="s">
        <v>16</v>
      </c>
      <c r="F28" s="15" t="s">
        <v>10</v>
      </c>
    </row>
  </sheetData>
  <mergeCells count="7">
    <mergeCell ref="B14:H14"/>
    <mergeCell ref="B17:H20"/>
    <mergeCell ref="B2:H2"/>
    <mergeCell ref="B3:H3"/>
    <mergeCell ref="B5:H5"/>
    <mergeCell ref="B8:H8"/>
    <mergeCell ref="B10:H1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24"/>
  <sheetViews>
    <sheetView showGridLines="0" zoomScaleNormal="100" workbookViewId="0">
      <selection activeCell="D7" sqref="D7"/>
    </sheetView>
  </sheetViews>
  <sheetFormatPr defaultColWidth="8.6328125" defaultRowHeight="14.5" x14ac:dyDescent="0.35"/>
  <cols>
    <col min="1" max="1" width="3" customWidth="1"/>
    <col min="2" max="2" width="30" customWidth="1"/>
    <col min="3" max="4" width="15" customWidth="1"/>
    <col min="5" max="6" width="12" customWidth="1"/>
    <col min="7" max="7" width="15" customWidth="1"/>
    <col min="8" max="8" width="35" customWidth="1"/>
  </cols>
  <sheetData>
    <row r="2" spans="2:9" ht="34.5" customHeight="1" x14ac:dyDescent="0.35">
      <c r="B2" s="4" t="s">
        <v>17</v>
      </c>
      <c r="C2" s="4"/>
      <c r="D2" s="4"/>
      <c r="E2" s="4"/>
      <c r="F2" s="4"/>
      <c r="G2" s="4"/>
      <c r="H2" s="4"/>
      <c r="I2" s="4"/>
    </row>
    <row r="4" spans="2:9" x14ac:dyDescent="0.35">
      <c r="B4" s="16" t="s">
        <v>18</v>
      </c>
      <c r="C4" s="16" t="s">
        <v>19</v>
      </c>
      <c r="D4" s="16" t="s">
        <v>20</v>
      </c>
      <c r="E4" s="16" t="s">
        <v>21</v>
      </c>
      <c r="F4" s="16" t="s">
        <v>22</v>
      </c>
      <c r="G4" s="16" t="s">
        <v>23</v>
      </c>
      <c r="H4" s="16" t="s">
        <v>24</v>
      </c>
    </row>
    <row r="5" spans="2:9" x14ac:dyDescent="0.35">
      <c r="B5" s="17" t="s">
        <v>25</v>
      </c>
      <c r="C5" s="18" t="s">
        <v>26</v>
      </c>
      <c r="D5" s="19" t="s">
        <v>27</v>
      </c>
      <c r="E5" s="18" t="s">
        <v>28</v>
      </c>
      <c r="F5" s="20" t="s">
        <v>4</v>
      </c>
      <c r="G5" s="20" t="s">
        <v>29</v>
      </c>
      <c r="H5" s="21" t="s">
        <v>30</v>
      </c>
    </row>
    <row r="6" spans="2:9" x14ac:dyDescent="0.35">
      <c r="B6" s="17" t="s">
        <v>31</v>
      </c>
      <c r="C6" s="18" t="s">
        <v>32</v>
      </c>
      <c r="D6" s="19" t="s">
        <v>33</v>
      </c>
      <c r="E6" s="18" t="s">
        <v>34</v>
      </c>
      <c r="F6" s="20" t="s">
        <v>35</v>
      </c>
      <c r="G6" s="20" t="s">
        <v>29</v>
      </c>
      <c r="H6" s="21" t="s">
        <v>36</v>
      </c>
    </row>
    <row r="7" spans="2:9" x14ac:dyDescent="0.35">
      <c r="B7" s="17" t="s">
        <v>37</v>
      </c>
      <c r="C7" s="18" t="s">
        <v>38</v>
      </c>
      <c r="D7" s="19" t="s">
        <v>39</v>
      </c>
      <c r="E7" s="18" t="s">
        <v>40</v>
      </c>
      <c r="F7" s="22" t="s">
        <v>41</v>
      </c>
      <c r="G7" s="22" t="s">
        <v>42</v>
      </c>
      <c r="H7" s="21" t="s">
        <v>43</v>
      </c>
    </row>
    <row r="8" spans="2:9" x14ac:dyDescent="0.35">
      <c r="B8" s="17" t="s">
        <v>44</v>
      </c>
      <c r="C8" s="18" t="s">
        <v>45</v>
      </c>
      <c r="D8" s="19" t="s">
        <v>46</v>
      </c>
      <c r="E8" s="18" t="s">
        <v>28</v>
      </c>
      <c r="F8" s="22" t="s">
        <v>47</v>
      </c>
      <c r="G8" s="22" t="s">
        <v>42</v>
      </c>
      <c r="H8" s="21" t="s">
        <v>48</v>
      </c>
    </row>
    <row r="9" spans="2:9" x14ac:dyDescent="0.35">
      <c r="B9" s="17" t="s">
        <v>49</v>
      </c>
      <c r="C9" s="18" t="s">
        <v>50</v>
      </c>
      <c r="D9" s="19" t="s">
        <v>51</v>
      </c>
      <c r="E9" s="18" t="s">
        <v>28</v>
      </c>
      <c r="F9" s="22" t="s">
        <v>52</v>
      </c>
      <c r="G9" s="20" t="s">
        <v>29</v>
      </c>
      <c r="H9" s="21" t="s">
        <v>30</v>
      </c>
    </row>
    <row r="10" spans="2:9" x14ac:dyDescent="0.35">
      <c r="B10" s="17" t="s">
        <v>53</v>
      </c>
      <c r="C10" s="18" t="s">
        <v>54</v>
      </c>
      <c r="D10" s="19" t="s">
        <v>54</v>
      </c>
      <c r="E10" s="18" t="s">
        <v>34</v>
      </c>
      <c r="F10" s="20" t="s">
        <v>35</v>
      </c>
      <c r="G10" s="20" t="s">
        <v>29</v>
      </c>
      <c r="H10" s="21" t="s">
        <v>55</v>
      </c>
    </row>
    <row r="11" spans="2:9" x14ac:dyDescent="0.35">
      <c r="B11" s="17" t="s">
        <v>56</v>
      </c>
      <c r="C11" s="18" t="s">
        <v>57</v>
      </c>
      <c r="D11" s="19" t="s">
        <v>57</v>
      </c>
      <c r="E11" s="18" t="s">
        <v>34</v>
      </c>
      <c r="F11" s="20" t="s">
        <v>35</v>
      </c>
      <c r="G11" s="20" t="s">
        <v>29</v>
      </c>
      <c r="H11" s="21" t="s">
        <v>58</v>
      </c>
    </row>
    <row r="12" spans="2:9" x14ac:dyDescent="0.35">
      <c r="B12" s="17" t="s">
        <v>59</v>
      </c>
      <c r="C12" s="18" t="s">
        <v>60</v>
      </c>
      <c r="D12" s="19" t="s">
        <v>60</v>
      </c>
      <c r="E12" s="18" t="s">
        <v>34</v>
      </c>
      <c r="F12" s="20" t="s">
        <v>35</v>
      </c>
      <c r="G12" s="20" t="s">
        <v>29</v>
      </c>
      <c r="H12" s="21" t="s">
        <v>61</v>
      </c>
    </row>
    <row r="13" spans="2:9" x14ac:dyDescent="0.35">
      <c r="B13" s="17" t="s">
        <v>62</v>
      </c>
      <c r="C13" s="18" t="s">
        <v>63</v>
      </c>
      <c r="D13" s="19" t="s">
        <v>63</v>
      </c>
      <c r="E13" s="18" t="s">
        <v>64</v>
      </c>
      <c r="F13" s="20" t="s">
        <v>35</v>
      </c>
      <c r="G13" s="20" t="s">
        <v>29</v>
      </c>
      <c r="H13" s="21" t="s">
        <v>65</v>
      </c>
    </row>
    <row r="14" spans="2:9" x14ac:dyDescent="0.35">
      <c r="B14" s="17" t="s">
        <v>66</v>
      </c>
      <c r="C14" s="18" t="s">
        <v>67</v>
      </c>
      <c r="D14" s="19" t="s">
        <v>67</v>
      </c>
      <c r="E14" s="18" t="s">
        <v>68</v>
      </c>
      <c r="F14" s="20" t="s">
        <v>35</v>
      </c>
      <c r="G14" s="20" t="s">
        <v>29</v>
      </c>
      <c r="H14" s="21" t="s">
        <v>69</v>
      </c>
    </row>
    <row r="15" spans="2:9" x14ac:dyDescent="0.35">
      <c r="B15" s="17" t="s">
        <v>70</v>
      </c>
      <c r="C15" s="18" t="s">
        <v>67</v>
      </c>
      <c r="D15" s="19" t="s">
        <v>67</v>
      </c>
      <c r="E15" s="18" t="s">
        <v>68</v>
      </c>
      <c r="F15" s="20" t="s">
        <v>35</v>
      </c>
      <c r="G15" s="20" t="s">
        <v>29</v>
      </c>
      <c r="H15" s="21" t="s">
        <v>71</v>
      </c>
    </row>
    <row r="16" spans="2:9" x14ac:dyDescent="0.35">
      <c r="B16" s="17" t="s">
        <v>72</v>
      </c>
      <c r="C16" s="18" t="s">
        <v>73</v>
      </c>
      <c r="D16" s="19" t="s">
        <v>74</v>
      </c>
      <c r="E16" s="18" t="s">
        <v>75</v>
      </c>
      <c r="F16" s="22" t="s">
        <v>76</v>
      </c>
      <c r="G16" s="22" t="s">
        <v>42</v>
      </c>
      <c r="H16" s="21" t="s">
        <v>77</v>
      </c>
    </row>
    <row r="18" spans="2:7" ht="22.5" x14ac:dyDescent="0.45">
      <c r="B18" s="23" t="s">
        <v>78</v>
      </c>
      <c r="F18" s="24" t="s">
        <v>4</v>
      </c>
      <c r="G18" s="25" t="s">
        <v>29</v>
      </c>
    </row>
    <row r="21" spans="2:7" x14ac:dyDescent="0.35">
      <c r="B21" s="13" t="s">
        <v>79</v>
      </c>
    </row>
    <row r="22" spans="2:7" x14ac:dyDescent="0.35">
      <c r="B22" s="26" t="s">
        <v>29</v>
      </c>
      <c r="C22" t="s">
        <v>80</v>
      </c>
    </row>
    <row r="23" spans="2:7" x14ac:dyDescent="0.35">
      <c r="B23" s="27" t="s">
        <v>42</v>
      </c>
      <c r="C23" t="s">
        <v>81</v>
      </c>
    </row>
    <row r="24" spans="2:7" x14ac:dyDescent="0.35">
      <c r="B24" s="28" t="s">
        <v>82</v>
      </c>
      <c r="C24" t="s">
        <v>83</v>
      </c>
    </row>
  </sheetData>
  <mergeCells count="1">
    <mergeCell ref="B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52"/>
  <sheetViews>
    <sheetView showGridLines="0" topLeftCell="A22" zoomScaleNormal="100" workbookViewId="0"/>
  </sheetViews>
  <sheetFormatPr defaultColWidth="8.6328125" defaultRowHeight="14.5" x14ac:dyDescent="0.35"/>
  <cols>
    <col min="1" max="1" width="3" customWidth="1"/>
    <col min="2" max="2" width="25" customWidth="1"/>
    <col min="3" max="5" width="15" customWidth="1"/>
    <col min="6" max="7" width="18" customWidth="1"/>
    <col min="8" max="8" width="12" customWidth="1"/>
    <col min="9" max="9" width="10" customWidth="1"/>
  </cols>
  <sheetData>
    <row r="2" spans="2:10" ht="34.5" customHeight="1" x14ac:dyDescent="0.35">
      <c r="B2" s="4" t="s">
        <v>84</v>
      </c>
      <c r="C2" s="4"/>
      <c r="D2" s="4"/>
      <c r="E2" s="4"/>
      <c r="F2" s="4"/>
      <c r="G2" s="4"/>
      <c r="H2" s="4"/>
      <c r="I2" s="4"/>
      <c r="J2" s="4"/>
    </row>
    <row r="4" spans="2:10" x14ac:dyDescent="0.35">
      <c r="B4" s="16" t="s">
        <v>85</v>
      </c>
      <c r="C4" s="16" t="s">
        <v>86</v>
      </c>
      <c r="D4" s="16" t="s">
        <v>87</v>
      </c>
      <c r="E4" s="16" t="s">
        <v>88</v>
      </c>
      <c r="F4" s="16" t="s">
        <v>89</v>
      </c>
      <c r="G4" s="16" t="s">
        <v>90</v>
      </c>
      <c r="H4" s="16" t="s">
        <v>91</v>
      </c>
      <c r="I4" s="16" t="s">
        <v>23</v>
      </c>
    </row>
    <row r="5" spans="2:10" ht="17.5" x14ac:dyDescent="0.35">
      <c r="B5" s="17" t="s">
        <v>92</v>
      </c>
      <c r="C5" s="29">
        <v>315.38</v>
      </c>
      <c r="D5" s="29">
        <v>654118.55000000005</v>
      </c>
      <c r="E5" s="29">
        <v>0</v>
      </c>
      <c r="F5" s="30">
        <v>654433.93000000005</v>
      </c>
      <c r="G5" s="29">
        <v>163608.49</v>
      </c>
      <c r="H5" s="31">
        <v>2</v>
      </c>
      <c r="I5" s="32" t="s">
        <v>10</v>
      </c>
    </row>
    <row r="6" spans="2:10" ht="17.5" x14ac:dyDescent="0.35">
      <c r="B6" s="17" t="s">
        <v>93</v>
      </c>
      <c r="C6" s="29">
        <v>250760.01</v>
      </c>
      <c r="D6" s="29">
        <v>623480.68000000005</v>
      </c>
      <c r="E6" s="29">
        <v>482375.42</v>
      </c>
      <c r="F6" s="30">
        <v>1356616.11</v>
      </c>
      <c r="G6" s="29">
        <v>339110.03</v>
      </c>
      <c r="H6" s="31">
        <v>3</v>
      </c>
      <c r="I6" s="32" t="s">
        <v>10</v>
      </c>
    </row>
    <row r="7" spans="2:10" ht="17.5" x14ac:dyDescent="0.35">
      <c r="B7" s="17" t="s">
        <v>94</v>
      </c>
      <c r="C7" s="29">
        <v>0</v>
      </c>
      <c r="D7" s="29">
        <v>373460.84</v>
      </c>
      <c r="E7" s="29">
        <v>0</v>
      </c>
      <c r="F7" s="30">
        <v>373460.84</v>
      </c>
      <c r="G7" s="29">
        <v>93365.21</v>
      </c>
      <c r="H7" s="31">
        <v>1</v>
      </c>
      <c r="I7" s="32" t="s">
        <v>10</v>
      </c>
    </row>
    <row r="8" spans="2:10" ht="17.5" x14ac:dyDescent="0.35">
      <c r="B8" s="17" t="s">
        <v>95</v>
      </c>
      <c r="C8" s="29">
        <v>9936.3799999999992</v>
      </c>
      <c r="D8" s="29">
        <v>322440.63</v>
      </c>
      <c r="E8" s="29">
        <v>319123.53999999998</v>
      </c>
      <c r="F8" s="30">
        <v>651500.55000000005</v>
      </c>
      <c r="G8" s="29">
        <v>162875.14000000001</v>
      </c>
      <c r="H8" s="31">
        <v>3</v>
      </c>
      <c r="I8" s="32" t="s">
        <v>10</v>
      </c>
    </row>
    <row r="9" spans="2:10" ht="17.5" x14ac:dyDescent="0.35">
      <c r="B9" s="17" t="s">
        <v>96</v>
      </c>
      <c r="C9" s="29">
        <v>0</v>
      </c>
      <c r="D9" s="29">
        <v>187094.92</v>
      </c>
      <c r="E9" s="29">
        <v>0</v>
      </c>
      <c r="F9" s="30">
        <v>187094.92</v>
      </c>
      <c r="G9" s="29">
        <v>46773.73</v>
      </c>
      <c r="H9" s="31">
        <v>1</v>
      </c>
      <c r="I9" s="32" t="s">
        <v>10</v>
      </c>
    </row>
    <row r="10" spans="2:10" ht="17.5" x14ac:dyDescent="0.35">
      <c r="B10" s="17" t="s">
        <v>97</v>
      </c>
      <c r="C10" s="29">
        <v>384</v>
      </c>
      <c r="D10" s="29">
        <v>124459.72</v>
      </c>
      <c r="E10" s="29">
        <v>0</v>
      </c>
      <c r="F10" s="30">
        <v>124843.72</v>
      </c>
      <c r="G10" s="29">
        <v>31210.93</v>
      </c>
      <c r="H10" s="31">
        <v>2</v>
      </c>
      <c r="I10" s="32" t="s">
        <v>10</v>
      </c>
    </row>
    <row r="11" spans="2:10" ht="17.5" x14ac:dyDescent="0.35">
      <c r="B11" s="17" t="s">
        <v>98</v>
      </c>
      <c r="C11" s="29">
        <v>23803.37</v>
      </c>
      <c r="D11" s="29">
        <v>73364.75</v>
      </c>
      <c r="E11" s="29">
        <v>72589.53</v>
      </c>
      <c r="F11" s="30">
        <v>169757.65</v>
      </c>
      <c r="G11" s="29">
        <v>42439.41</v>
      </c>
      <c r="H11" s="31">
        <v>3</v>
      </c>
      <c r="I11" s="32" t="s">
        <v>10</v>
      </c>
    </row>
    <row r="12" spans="2:10" ht="17.5" x14ac:dyDescent="0.35">
      <c r="B12" s="17" t="s">
        <v>99</v>
      </c>
      <c r="C12" s="29">
        <v>59259.78</v>
      </c>
      <c r="D12" s="29">
        <v>0</v>
      </c>
      <c r="E12" s="29">
        <v>0</v>
      </c>
      <c r="F12" s="30">
        <v>59259.78</v>
      </c>
      <c r="G12" s="29">
        <v>14814.94</v>
      </c>
      <c r="H12" s="31">
        <v>1</v>
      </c>
      <c r="I12" s="32" t="s">
        <v>10</v>
      </c>
    </row>
    <row r="13" spans="2:10" ht="17.5" x14ac:dyDescent="0.35">
      <c r="B13" s="17" t="s">
        <v>100</v>
      </c>
      <c r="C13" s="29">
        <v>0</v>
      </c>
      <c r="D13" s="29">
        <v>50900.89</v>
      </c>
      <c r="E13" s="29">
        <v>0</v>
      </c>
      <c r="F13" s="30">
        <v>50900.89</v>
      </c>
      <c r="G13" s="29">
        <v>12725.22</v>
      </c>
      <c r="H13" s="31">
        <v>1</v>
      </c>
      <c r="I13" s="32" t="s">
        <v>10</v>
      </c>
    </row>
    <row r="14" spans="2:10" ht="17.5" x14ac:dyDescent="0.35">
      <c r="B14" s="17" t="s">
        <v>101</v>
      </c>
      <c r="C14" s="29">
        <v>37932.35</v>
      </c>
      <c r="D14" s="29">
        <v>1387.87</v>
      </c>
      <c r="E14" s="29">
        <v>0</v>
      </c>
      <c r="F14" s="30">
        <v>39320.22</v>
      </c>
      <c r="G14" s="29">
        <v>9830.06</v>
      </c>
      <c r="H14" s="31">
        <v>2</v>
      </c>
      <c r="I14" s="32" t="s">
        <v>10</v>
      </c>
    </row>
    <row r="15" spans="2:10" ht="17.5" x14ac:dyDescent="0.35">
      <c r="B15" s="17" t="s">
        <v>102</v>
      </c>
      <c r="C15" s="29">
        <v>35263.599999999999</v>
      </c>
      <c r="D15" s="29">
        <v>764.63</v>
      </c>
      <c r="E15" s="29">
        <v>0</v>
      </c>
      <c r="F15" s="30">
        <v>36028.230000000003</v>
      </c>
      <c r="G15" s="29">
        <v>9007.06</v>
      </c>
      <c r="H15" s="31">
        <v>2</v>
      </c>
      <c r="I15" s="32" t="s">
        <v>10</v>
      </c>
    </row>
    <row r="16" spans="2:10" ht="17.5" x14ac:dyDescent="0.35">
      <c r="B16" s="17" t="s">
        <v>103</v>
      </c>
      <c r="C16" s="29">
        <v>0</v>
      </c>
      <c r="D16" s="29">
        <v>23410.98</v>
      </c>
      <c r="E16" s="29">
        <v>0</v>
      </c>
      <c r="F16" s="30">
        <v>23410.98</v>
      </c>
      <c r="G16" s="29">
        <v>5852.74</v>
      </c>
      <c r="H16" s="31">
        <v>1</v>
      </c>
      <c r="I16" s="32" t="s">
        <v>10</v>
      </c>
    </row>
    <row r="17" spans="2:9" ht="17.5" x14ac:dyDescent="0.35">
      <c r="B17" s="17" t="s">
        <v>104</v>
      </c>
      <c r="C17" s="29">
        <v>9399.6200000000008</v>
      </c>
      <c r="D17" s="29">
        <v>15426.76</v>
      </c>
      <c r="E17" s="29">
        <v>0</v>
      </c>
      <c r="F17" s="30">
        <v>24826.38</v>
      </c>
      <c r="G17" s="29">
        <v>6206.59</v>
      </c>
      <c r="H17" s="31">
        <v>2</v>
      </c>
      <c r="I17" s="32" t="s">
        <v>10</v>
      </c>
    </row>
    <row r="18" spans="2:9" ht="17.5" x14ac:dyDescent="0.35">
      <c r="B18" s="17" t="s">
        <v>105</v>
      </c>
      <c r="C18" s="29">
        <v>2825.38</v>
      </c>
      <c r="D18" s="29">
        <v>10799.91</v>
      </c>
      <c r="E18" s="29">
        <v>4055</v>
      </c>
      <c r="F18" s="30">
        <v>17680.29</v>
      </c>
      <c r="G18" s="29">
        <v>4420.07</v>
      </c>
      <c r="H18" s="31">
        <v>3</v>
      </c>
      <c r="I18" s="32" t="s">
        <v>10</v>
      </c>
    </row>
    <row r="19" spans="2:9" ht="17.5" x14ac:dyDescent="0.35">
      <c r="B19" s="17" t="s">
        <v>106</v>
      </c>
      <c r="C19" s="29">
        <v>1027</v>
      </c>
      <c r="D19" s="29">
        <v>11080</v>
      </c>
      <c r="E19" s="29">
        <v>0</v>
      </c>
      <c r="F19" s="30">
        <v>12107</v>
      </c>
      <c r="G19" s="29">
        <v>3026.75</v>
      </c>
      <c r="H19" s="31">
        <v>2</v>
      </c>
      <c r="I19" s="32" t="s">
        <v>10</v>
      </c>
    </row>
    <row r="20" spans="2:9" ht="17.5" x14ac:dyDescent="0.35">
      <c r="B20" s="17" t="s">
        <v>107</v>
      </c>
      <c r="C20" s="29">
        <v>11644.86</v>
      </c>
      <c r="D20" s="29">
        <v>0</v>
      </c>
      <c r="E20" s="29">
        <v>0</v>
      </c>
      <c r="F20" s="30">
        <v>11644.86</v>
      </c>
      <c r="G20" s="29">
        <v>2911.21</v>
      </c>
      <c r="H20" s="31">
        <v>1</v>
      </c>
      <c r="I20" s="32" t="s">
        <v>10</v>
      </c>
    </row>
    <row r="21" spans="2:9" ht="17.5" x14ac:dyDescent="0.35">
      <c r="B21" s="17" t="s">
        <v>108</v>
      </c>
      <c r="C21" s="29">
        <v>5464.5</v>
      </c>
      <c r="D21" s="29">
        <v>1568.96</v>
      </c>
      <c r="E21" s="29">
        <v>0</v>
      </c>
      <c r="F21" s="30">
        <v>7033.46</v>
      </c>
      <c r="G21" s="29">
        <v>1758.36</v>
      </c>
      <c r="H21" s="31">
        <v>2</v>
      </c>
      <c r="I21" s="32" t="s">
        <v>10</v>
      </c>
    </row>
    <row r="22" spans="2:9" ht="17.5" x14ac:dyDescent="0.35">
      <c r="B22" s="17" t="s">
        <v>109</v>
      </c>
      <c r="C22" s="29">
        <v>4220.5</v>
      </c>
      <c r="D22" s="29">
        <v>0</v>
      </c>
      <c r="E22" s="29">
        <v>0</v>
      </c>
      <c r="F22" s="30">
        <v>4220.5</v>
      </c>
      <c r="G22" s="29">
        <v>1055.1199999999999</v>
      </c>
      <c r="H22" s="31">
        <v>1</v>
      </c>
      <c r="I22" s="32" t="s">
        <v>10</v>
      </c>
    </row>
    <row r="23" spans="2:9" ht="17.5" x14ac:dyDescent="0.35">
      <c r="B23" s="17" t="s">
        <v>110</v>
      </c>
      <c r="C23" s="29">
        <v>3895</v>
      </c>
      <c r="D23" s="29">
        <v>0</v>
      </c>
      <c r="E23" s="29">
        <v>0</v>
      </c>
      <c r="F23" s="30">
        <v>3895</v>
      </c>
      <c r="G23" s="29">
        <v>973.75</v>
      </c>
      <c r="H23" s="31">
        <v>1</v>
      </c>
      <c r="I23" s="32" t="s">
        <v>10</v>
      </c>
    </row>
    <row r="24" spans="2:9" ht="17.5" x14ac:dyDescent="0.35">
      <c r="B24" s="17" t="s">
        <v>111</v>
      </c>
      <c r="C24" s="29">
        <v>0</v>
      </c>
      <c r="D24" s="29">
        <v>3725.38</v>
      </c>
      <c r="E24" s="29">
        <v>0</v>
      </c>
      <c r="F24" s="30">
        <v>3725.38</v>
      </c>
      <c r="G24" s="29">
        <v>931.35</v>
      </c>
      <c r="H24" s="31">
        <v>1</v>
      </c>
      <c r="I24" s="32" t="s">
        <v>10</v>
      </c>
    </row>
    <row r="25" spans="2:9" ht="17.5" x14ac:dyDescent="0.35">
      <c r="B25" s="17" t="s">
        <v>112</v>
      </c>
      <c r="C25" s="29">
        <v>3390</v>
      </c>
      <c r="D25" s="29">
        <v>0</v>
      </c>
      <c r="E25" s="29">
        <v>0</v>
      </c>
      <c r="F25" s="30">
        <v>3390</v>
      </c>
      <c r="G25" s="29">
        <v>847.5</v>
      </c>
      <c r="H25" s="31">
        <v>1</v>
      </c>
      <c r="I25" s="32" t="s">
        <v>10</v>
      </c>
    </row>
    <row r="26" spans="2:9" ht="17.5" x14ac:dyDescent="0.35">
      <c r="B26" s="17" t="s">
        <v>113</v>
      </c>
      <c r="C26" s="29">
        <v>0</v>
      </c>
      <c r="D26" s="29">
        <v>3157.3</v>
      </c>
      <c r="E26" s="29">
        <v>0</v>
      </c>
      <c r="F26" s="30">
        <v>3157.3</v>
      </c>
      <c r="G26" s="29">
        <v>789.32</v>
      </c>
      <c r="H26" s="31">
        <v>1</v>
      </c>
      <c r="I26" s="32" t="s">
        <v>10</v>
      </c>
    </row>
    <row r="27" spans="2:9" ht="17.5" x14ac:dyDescent="0.35">
      <c r="B27" s="17" t="s">
        <v>114</v>
      </c>
      <c r="C27" s="29">
        <v>2927.55</v>
      </c>
      <c r="D27" s="29">
        <v>0</v>
      </c>
      <c r="E27" s="29">
        <v>0</v>
      </c>
      <c r="F27" s="30">
        <v>2927.55</v>
      </c>
      <c r="G27" s="29">
        <v>731.89</v>
      </c>
      <c r="H27" s="31">
        <v>1</v>
      </c>
      <c r="I27" s="32" t="s">
        <v>10</v>
      </c>
    </row>
    <row r="28" spans="2:9" ht="17.5" x14ac:dyDescent="0.35">
      <c r="B28" s="17" t="s">
        <v>115</v>
      </c>
      <c r="C28" s="29">
        <v>0</v>
      </c>
      <c r="D28" s="29">
        <v>1799.67</v>
      </c>
      <c r="E28" s="29">
        <v>0</v>
      </c>
      <c r="F28" s="30">
        <v>1799.67</v>
      </c>
      <c r="G28" s="29">
        <v>449.92</v>
      </c>
      <c r="H28" s="31">
        <v>1</v>
      </c>
      <c r="I28" s="32" t="s">
        <v>10</v>
      </c>
    </row>
    <row r="29" spans="2:9" ht="17.5" x14ac:dyDescent="0.35">
      <c r="B29" s="17" t="s">
        <v>116</v>
      </c>
      <c r="C29" s="29">
        <v>1395.37</v>
      </c>
      <c r="D29" s="29">
        <v>0</v>
      </c>
      <c r="E29" s="29">
        <v>0</v>
      </c>
      <c r="F29" s="30">
        <v>1395.37</v>
      </c>
      <c r="G29" s="29">
        <v>348.84</v>
      </c>
      <c r="H29" s="31">
        <v>1</v>
      </c>
      <c r="I29" s="32" t="s">
        <v>10</v>
      </c>
    </row>
    <row r="30" spans="2:9" ht="17.5" x14ac:dyDescent="0.35">
      <c r="B30" s="17" t="s">
        <v>117</v>
      </c>
      <c r="C30" s="29">
        <v>1322</v>
      </c>
      <c r="D30" s="29">
        <v>0</v>
      </c>
      <c r="E30" s="29">
        <v>0</v>
      </c>
      <c r="F30" s="30">
        <v>1322</v>
      </c>
      <c r="G30" s="29">
        <v>330.5</v>
      </c>
      <c r="H30" s="31">
        <v>1</v>
      </c>
      <c r="I30" s="32" t="s">
        <v>10</v>
      </c>
    </row>
    <row r="31" spans="2:9" ht="17.5" x14ac:dyDescent="0.35">
      <c r="B31" s="17" t="s">
        <v>118</v>
      </c>
      <c r="C31" s="29">
        <v>1275.3800000000001</v>
      </c>
      <c r="D31" s="29">
        <v>0</v>
      </c>
      <c r="E31" s="29">
        <v>0</v>
      </c>
      <c r="F31" s="30">
        <v>1275.3800000000001</v>
      </c>
      <c r="G31" s="29">
        <v>318.85000000000002</v>
      </c>
      <c r="H31" s="31">
        <v>1</v>
      </c>
      <c r="I31" s="32" t="s">
        <v>10</v>
      </c>
    </row>
    <row r="32" spans="2:9" ht="17.5" x14ac:dyDescent="0.35">
      <c r="B32" s="17" t="s">
        <v>119</v>
      </c>
      <c r="C32" s="29">
        <v>1257</v>
      </c>
      <c r="D32" s="29">
        <v>0</v>
      </c>
      <c r="E32" s="29">
        <v>0</v>
      </c>
      <c r="F32" s="30">
        <v>1257</v>
      </c>
      <c r="G32" s="29">
        <v>314.25</v>
      </c>
      <c r="H32" s="31">
        <v>1</v>
      </c>
      <c r="I32" s="32" t="s">
        <v>10</v>
      </c>
    </row>
    <row r="33" spans="2:9" ht="17.5" x14ac:dyDescent="0.35">
      <c r="B33" s="17" t="s">
        <v>120</v>
      </c>
      <c r="C33" s="29">
        <v>1130</v>
      </c>
      <c r="D33" s="29">
        <v>0</v>
      </c>
      <c r="E33" s="29">
        <v>0</v>
      </c>
      <c r="F33" s="30">
        <v>1130</v>
      </c>
      <c r="G33" s="29">
        <v>282.5</v>
      </c>
      <c r="H33" s="31">
        <v>1</v>
      </c>
      <c r="I33" s="32" t="s">
        <v>10</v>
      </c>
    </row>
    <row r="34" spans="2:9" ht="17.5" x14ac:dyDescent="0.35">
      <c r="B34" s="17" t="s">
        <v>121</v>
      </c>
      <c r="C34" s="29">
        <v>1084.6199999999999</v>
      </c>
      <c r="D34" s="29">
        <v>0</v>
      </c>
      <c r="E34" s="29">
        <v>0</v>
      </c>
      <c r="F34" s="30">
        <v>1084.6199999999999</v>
      </c>
      <c r="G34" s="29">
        <v>271.14999999999998</v>
      </c>
      <c r="H34" s="31">
        <v>1</v>
      </c>
      <c r="I34" s="32" t="s">
        <v>10</v>
      </c>
    </row>
    <row r="35" spans="2:9" ht="17.5" x14ac:dyDescent="0.35">
      <c r="B35" s="17" t="s">
        <v>122</v>
      </c>
      <c r="C35" s="29">
        <v>1027</v>
      </c>
      <c r="D35" s="29">
        <v>0</v>
      </c>
      <c r="E35" s="29">
        <v>0</v>
      </c>
      <c r="F35" s="30">
        <v>1027</v>
      </c>
      <c r="G35" s="29">
        <v>256.75</v>
      </c>
      <c r="H35" s="31">
        <v>1</v>
      </c>
      <c r="I35" s="32" t="s">
        <v>10</v>
      </c>
    </row>
    <row r="36" spans="2:9" ht="17.5" x14ac:dyDescent="0.35">
      <c r="B36" s="17" t="s">
        <v>123</v>
      </c>
      <c r="C36" s="29">
        <v>1027</v>
      </c>
      <c r="D36" s="29">
        <v>0</v>
      </c>
      <c r="E36" s="29">
        <v>0</v>
      </c>
      <c r="F36" s="30">
        <v>1027</v>
      </c>
      <c r="G36" s="29">
        <v>256.75</v>
      </c>
      <c r="H36" s="31">
        <v>1</v>
      </c>
      <c r="I36" s="32" t="s">
        <v>10</v>
      </c>
    </row>
    <row r="37" spans="2:9" ht="17.5" x14ac:dyDescent="0.35">
      <c r="B37" s="17" t="s">
        <v>124</v>
      </c>
      <c r="C37" s="29">
        <v>1015.38</v>
      </c>
      <c r="D37" s="29">
        <v>0</v>
      </c>
      <c r="E37" s="29">
        <v>0</v>
      </c>
      <c r="F37" s="30">
        <v>1015.38</v>
      </c>
      <c r="G37" s="29">
        <v>253.84</v>
      </c>
      <c r="H37" s="31">
        <v>1</v>
      </c>
      <c r="I37" s="32" t="s">
        <v>10</v>
      </c>
    </row>
    <row r="38" spans="2:9" ht="17.5" x14ac:dyDescent="0.35">
      <c r="B38" s="17" t="s">
        <v>125</v>
      </c>
      <c r="C38" s="29">
        <v>0</v>
      </c>
      <c r="D38" s="29">
        <v>1012</v>
      </c>
      <c r="E38" s="29">
        <v>0</v>
      </c>
      <c r="F38" s="30">
        <v>1012</v>
      </c>
      <c r="G38" s="29">
        <v>253</v>
      </c>
      <c r="H38" s="31">
        <v>1</v>
      </c>
      <c r="I38" s="32" t="s">
        <v>10</v>
      </c>
    </row>
    <row r="39" spans="2:9" ht="17.5" x14ac:dyDescent="0.35">
      <c r="B39" s="17" t="s">
        <v>126</v>
      </c>
      <c r="C39" s="29">
        <v>937</v>
      </c>
      <c r="D39" s="29">
        <v>0</v>
      </c>
      <c r="E39" s="29">
        <v>0</v>
      </c>
      <c r="F39" s="30">
        <v>937</v>
      </c>
      <c r="G39" s="29">
        <v>234.25</v>
      </c>
      <c r="H39" s="31">
        <v>1</v>
      </c>
      <c r="I39" s="32" t="s">
        <v>10</v>
      </c>
    </row>
    <row r="40" spans="2:9" ht="17.5" x14ac:dyDescent="0.35">
      <c r="B40" s="17" t="s">
        <v>127</v>
      </c>
      <c r="C40" s="29">
        <v>0</v>
      </c>
      <c r="D40" s="29">
        <v>705.11</v>
      </c>
      <c r="E40" s="29">
        <v>0</v>
      </c>
      <c r="F40" s="30">
        <v>705.11</v>
      </c>
      <c r="G40" s="29">
        <v>176.28</v>
      </c>
      <c r="H40" s="31">
        <v>1</v>
      </c>
      <c r="I40" s="32" t="s">
        <v>10</v>
      </c>
    </row>
    <row r="41" spans="2:9" ht="17.5" x14ac:dyDescent="0.35">
      <c r="B41" s="17" t="s">
        <v>128</v>
      </c>
      <c r="C41" s="29">
        <v>507.68</v>
      </c>
      <c r="D41" s="29">
        <v>0</v>
      </c>
      <c r="E41" s="29">
        <v>0</v>
      </c>
      <c r="F41" s="30">
        <v>507.68</v>
      </c>
      <c r="G41" s="29">
        <v>126.92</v>
      </c>
      <c r="H41" s="31">
        <v>1</v>
      </c>
      <c r="I41" s="32" t="s">
        <v>10</v>
      </c>
    </row>
    <row r="42" spans="2:9" ht="17.5" x14ac:dyDescent="0.35">
      <c r="B42" s="17" t="s">
        <v>129</v>
      </c>
      <c r="C42" s="29">
        <v>507.68</v>
      </c>
      <c r="D42" s="29">
        <v>0</v>
      </c>
      <c r="E42" s="29">
        <v>0</v>
      </c>
      <c r="F42" s="30">
        <v>507.68</v>
      </c>
      <c r="G42" s="29">
        <v>126.92</v>
      </c>
      <c r="H42" s="31">
        <v>1</v>
      </c>
      <c r="I42" s="32" t="s">
        <v>10</v>
      </c>
    </row>
    <row r="43" spans="2:9" ht="17.5" x14ac:dyDescent="0.35">
      <c r="B43" s="17" t="s">
        <v>130</v>
      </c>
      <c r="C43" s="29">
        <v>384</v>
      </c>
      <c r="D43" s="29">
        <v>0</v>
      </c>
      <c r="E43" s="29">
        <v>0</v>
      </c>
      <c r="F43" s="30">
        <v>384</v>
      </c>
      <c r="G43" s="29">
        <v>96</v>
      </c>
      <c r="H43" s="31">
        <v>1</v>
      </c>
      <c r="I43" s="32" t="s">
        <v>10</v>
      </c>
    </row>
    <row r="44" spans="2:9" ht="17.5" x14ac:dyDescent="0.35">
      <c r="B44" s="17" t="s">
        <v>131</v>
      </c>
      <c r="C44" s="29">
        <v>384</v>
      </c>
      <c r="D44" s="29">
        <v>0</v>
      </c>
      <c r="E44" s="29">
        <v>0</v>
      </c>
      <c r="F44" s="30">
        <v>384</v>
      </c>
      <c r="G44" s="29">
        <v>96</v>
      </c>
      <c r="H44" s="31">
        <v>1</v>
      </c>
      <c r="I44" s="32" t="s">
        <v>10</v>
      </c>
    </row>
    <row r="45" spans="2:9" ht="17.5" x14ac:dyDescent="0.35">
      <c r="B45" s="17" t="s">
        <v>132</v>
      </c>
      <c r="C45" s="29">
        <v>352</v>
      </c>
      <c r="D45" s="29">
        <v>0</v>
      </c>
      <c r="E45" s="29">
        <v>0</v>
      </c>
      <c r="F45" s="30">
        <v>352</v>
      </c>
      <c r="G45" s="29">
        <v>88</v>
      </c>
      <c r="H45" s="31">
        <v>1</v>
      </c>
      <c r="I45" s="32" t="s">
        <v>10</v>
      </c>
    </row>
    <row r="46" spans="2:9" ht="17.5" x14ac:dyDescent="0.35">
      <c r="B46" s="17" t="s">
        <v>133</v>
      </c>
      <c r="C46" s="29">
        <v>352</v>
      </c>
      <c r="D46" s="29">
        <v>749</v>
      </c>
      <c r="E46" s="29">
        <v>0</v>
      </c>
      <c r="F46" s="30">
        <v>1101</v>
      </c>
      <c r="G46" s="29">
        <v>275.25</v>
      </c>
      <c r="H46" s="31">
        <v>2</v>
      </c>
      <c r="I46" s="32" t="s">
        <v>10</v>
      </c>
    </row>
    <row r="47" spans="2:9" ht="17.5" x14ac:dyDescent="0.35">
      <c r="B47" s="17" t="s">
        <v>134</v>
      </c>
      <c r="C47" s="29">
        <v>330.77</v>
      </c>
      <c r="D47" s="29">
        <v>0</v>
      </c>
      <c r="E47" s="29">
        <v>0</v>
      </c>
      <c r="F47" s="30">
        <v>330.77</v>
      </c>
      <c r="G47" s="29">
        <v>82.69</v>
      </c>
      <c r="H47" s="31">
        <v>1</v>
      </c>
      <c r="I47" s="32" t="s">
        <v>10</v>
      </c>
    </row>
    <row r="48" spans="2:9" ht="17.5" x14ac:dyDescent="0.35">
      <c r="B48" s="17" t="s">
        <v>53</v>
      </c>
      <c r="C48" s="29">
        <v>0</v>
      </c>
      <c r="D48" s="29">
        <v>0</v>
      </c>
      <c r="E48" s="29">
        <v>750</v>
      </c>
      <c r="F48" s="30">
        <v>750</v>
      </c>
      <c r="G48" s="29">
        <v>187.5</v>
      </c>
      <c r="H48" s="31">
        <v>1</v>
      </c>
      <c r="I48" s="32" t="s">
        <v>10</v>
      </c>
    </row>
    <row r="49" spans="2:9" ht="17.5" x14ac:dyDescent="0.35">
      <c r="B49" s="17" t="s">
        <v>135</v>
      </c>
      <c r="C49" s="29">
        <v>0</v>
      </c>
      <c r="D49" s="29">
        <v>124.2</v>
      </c>
      <c r="E49" s="29">
        <v>0</v>
      </c>
      <c r="F49" s="30">
        <v>124.2</v>
      </c>
      <c r="G49" s="29">
        <v>31.05</v>
      </c>
      <c r="H49" s="31">
        <v>1</v>
      </c>
      <c r="I49" s="32" t="s">
        <v>10</v>
      </c>
    </row>
    <row r="50" spans="2:9" ht="17.5" x14ac:dyDescent="0.35">
      <c r="B50" s="17" t="s">
        <v>136</v>
      </c>
      <c r="C50" s="29">
        <v>0</v>
      </c>
      <c r="D50" s="29">
        <v>93.15</v>
      </c>
      <c r="E50" s="29">
        <v>0</v>
      </c>
      <c r="F50" s="30">
        <v>93.15</v>
      </c>
      <c r="G50" s="29">
        <v>23.29</v>
      </c>
      <c r="H50" s="31">
        <v>1</v>
      </c>
      <c r="I50" s="32" t="s">
        <v>10</v>
      </c>
    </row>
    <row r="51" spans="2:9" ht="17.5" x14ac:dyDescent="0.35">
      <c r="B51" s="17" t="s">
        <v>137</v>
      </c>
      <c r="C51" s="29">
        <v>352</v>
      </c>
      <c r="D51" s="29">
        <v>0</v>
      </c>
      <c r="E51" s="29">
        <v>0</v>
      </c>
      <c r="F51" s="30">
        <v>352</v>
      </c>
      <c r="G51" s="29">
        <v>0</v>
      </c>
      <c r="H51" s="31">
        <v>1</v>
      </c>
      <c r="I51" s="33" t="s">
        <v>138</v>
      </c>
    </row>
    <row r="52" spans="2:9" ht="15.5" x14ac:dyDescent="0.35">
      <c r="B52" s="34" t="s">
        <v>139</v>
      </c>
      <c r="C52" s="35">
        <f>SUM(C5:C51)</f>
        <v>477090.16</v>
      </c>
      <c r="D52" s="35">
        <f>SUM(D5:D51)</f>
        <v>2485125.9</v>
      </c>
      <c r="E52" s="35">
        <f>SUM(E5:E51)</f>
        <v>878893.49</v>
      </c>
      <c r="F52" s="36">
        <f>SUM(F5:F51)</f>
        <v>3841109.5499999993</v>
      </c>
      <c r="G52" s="36">
        <f>SUM(G5:G51)</f>
        <v>960145.37</v>
      </c>
      <c r="H52" s="37"/>
      <c r="I52" s="37"/>
    </row>
  </sheetData>
  <mergeCells count="1">
    <mergeCell ref="B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27"/>
  <sheetViews>
    <sheetView showGridLines="0" topLeftCell="A2" zoomScaleNormal="100" workbookViewId="0">
      <selection activeCell="C6" sqref="C6:H6"/>
    </sheetView>
  </sheetViews>
  <sheetFormatPr defaultColWidth="8.6328125" defaultRowHeight="14.5" x14ac:dyDescent="0.35"/>
  <cols>
    <col min="1" max="1" width="3" customWidth="1"/>
    <col min="2" max="2" width="35" customWidth="1"/>
    <col min="3" max="3" width="60" customWidth="1"/>
  </cols>
  <sheetData>
    <row r="2" spans="2:8" ht="34.5" customHeight="1" x14ac:dyDescent="0.35">
      <c r="B2" s="4" t="s">
        <v>140</v>
      </c>
      <c r="C2" s="4"/>
      <c r="D2" s="4"/>
      <c r="E2" s="4"/>
      <c r="F2" s="4"/>
      <c r="G2" s="4"/>
      <c r="H2" s="4"/>
    </row>
    <row r="5" spans="2:8" ht="17.5" x14ac:dyDescent="0.35">
      <c r="B5" s="38" t="s">
        <v>141</v>
      </c>
    </row>
    <row r="6" spans="2:8" ht="30" customHeight="1" x14ac:dyDescent="0.35">
      <c r="B6" s="13" t="s">
        <v>142</v>
      </c>
      <c r="C6" s="3" t="s">
        <v>143</v>
      </c>
      <c r="D6" s="3"/>
      <c r="E6" s="3"/>
      <c r="F6" s="3"/>
      <c r="G6" s="3"/>
      <c r="H6" s="3"/>
    </row>
    <row r="9" spans="2:8" ht="17.5" x14ac:dyDescent="0.35">
      <c r="B9" s="39" t="s">
        <v>144</v>
      </c>
    </row>
    <row r="10" spans="2:8" ht="30" customHeight="1" x14ac:dyDescent="0.35">
      <c r="B10" s="13" t="s">
        <v>145</v>
      </c>
      <c r="C10" s="3" t="s">
        <v>146</v>
      </c>
      <c r="D10" s="3"/>
      <c r="E10" s="3"/>
      <c r="F10" s="3"/>
      <c r="G10" s="3"/>
      <c r="H10" s="3"/>
    </row>
    <row r="11" spans="2:8" ht="30" customHeight="1" x14ac:dyDescent="0.35">
      <c r="B11" s="13" t="s">
        <v>147</v>
      </c>
      <c r="C11" s="3" t="s">
        <v>148</v>
      </c>
      <c r="D11" s="3"/>
      <c r="E11" s="3"/>
      <c r="F11" s="3"/>
      <c r="G11" s="3"/>
      <c r="H11" s="3"/>
    </row>
    <row r="15" spans="2:8" ht="17.5" x14ac:dyDescent="0.35">
      <c r="B15" s="15" t="s">
        <v>149</v>
      </c>
    </row>
    <row r="16" spans="2:8" ht="17.5" x14ac:dyDescent="0.35">
      <c r="B16" s="15" t="s">
        <v>150</v>
      </c>
      <c r="C16" s="2" t="s">
        <v>151</v>
      </c>
      <c r="D16" s="2"/>
      <c r="E16" s="2"/>
      <c r="F16" s="2"/>
      <c r="G16" s="2"/>
      <c r="H16" s="2"/>
    </row>
    <row r="17" spans="2:8" ht="17.5" x14ac:dyDescent="0.35">
      <c r="B17" s="15" t="s">
        <v>150</v>
      </c>
      <c r="C17" s="2" t="s">
        <v>152</v>
      </c>
      <c r="D17" s="2"/>
      <c r="E17" s="2"/>
      <c r="F17" s="2"/>
      <c r="G17" s="2"/>
      <c r="H17" s="2"/>
    </row>
    <row r="18" spans="2:8" ht="17.5" x14ac:dyDescent="0.35">
      <c r="B18" s="15" t="s">
        <v>150</v>
      </c>
      <c r="C18" s="2" t="s">
        <v>153</v>
      </c>
      <c r="D18" s="2"/>
      <c r="E18" s="2"/>
      <c r="F18" s="2"/>
      <c r="G18" s="2"/>
      <c r="H18" s="2"/>
    </row>
    <row r="19" spans="2:8" ht="17.5" x14ac:dyDescent="0.35">
      <c r="B19" s="15" t="s">
        <v>150</v>
      </c>
      <c r="C19" s="2" t="s">
        <v>154</v>
      </c>
      <c r="D19" s="2"/>
      <c r="E19" s="2"/>
      <c r="F19" s="2"/>
      <c r="G19" s="2"/>
      <c r="H19" s="2"/>
    </row>
    <row r="20" spans="2:8" ht="17.5" x14ac:dyDescent="0.35">
      <c r="B20" s="15" t="s">
        <v>150</v>
      </c>
      <c r="C20" s="2" t="s">
        <v>155</v>
      </c>
      <c r="D20" s="2"/>
      <c r="E20" s="2"/>
      <c r="F20" s="2"/>
      <c r="G20" s="2"/>
      <c r="H20" s="2"/>
    </row>
    <row r="21" spans="2:8" ht="17.5" x14ac:dyDescent="0.35">
      <c r="B21" s="15" t="s">
        <v>150</v>
      </c>
      <c r="C21" s="2" t="s">
        <v>156</v>
      </c>
      <c r="D21" s="2"/>
      <c r="E21" s="2"/>
      <c r="F21" s="2"/>
      <c r="G21" s="2"/>
      <c r="H21" s="2"/>
    </row>
    <row r="25" spans="2:8" ht="49.5" customHeight="1" x14ac:dyDescent="0.35">
      <c r="B25" s="1" t="s">
        <v>157</v>
      </c>
      <c r="C25" s="1"/>
      <c r="D25" s="1"/>
      <c r="E25" s="1"/>
      <c r="F25" s="1"/>
      <c r="G25" s="1"/>
      <c r="H25" s="1"/>
    </row>
    <row r="26" spans="2:8" x14ac:dyDescent="0.35">
      <c r="B26" s="1"/>
      <c r="C26" s="1"/>
      <c r="D26" s="1"/>
      <c r="E26" s="1"/>
      <c r="F26" s="1"/>
      <c r="G26" s="1"/>
      <c r="H26" s="1"/>
    </row>
    <row r="27" spans="2:8" x14ac:dyDescent="0.35">
      <c r="B27" s="1"/>
      <c r="C27" s="1"/>
      <c r="D27" s="1"/>
      <c r="E27" s="1"/>
      <c r="F27" s="1"/>
      <c r="G27" s="1"/>
      <c r="H27" s="1"/>
    </row>
  </sheetData>
  <mergeCells count="11">
    <mergeCell ref="B25:H27"/>
    <mergeCell ref="C17:H17"/>
    <mergeCell ref="C18:H18"/>
    <mergeCell ref="C19:H19"/>
    <mergeCell ref="C20:H20"/>
    <mergeCell ref="C21:H21"/>
    <mergeCell ref="B2:H2"/>
    <mergeCell ref="C6:H6"/>
    <mergeCell ref="C10:H10"/>
    <mergeCell ref="C11:H11"/>
    <mergeCell ref="C16:H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Validation Globale</vt:lpstr>
      <vt:lpstr>Matrice de Validation</vt:lpstr>
      <vt:lpstr>Synthèse par Commune</vt:lpstr>
      <vt:lpstr>Recommandations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Oussama AL MOUALLIM EL KANOUNI</cp:lastModifiedBy>
  <cp:revision>0</cp:revision>
  <dcterms:created xsi:type="dcterms:W3CDTF">2026-04-14T16:11:15Z</dcterms:created>
  <dcterms:modified xsi:type="dcterms:W3CDTF">2026-04-14T17:06:09Z</dcterms:modified>
  <dc:language>en-US</dc:language>
</cp:coreProperties>
</file>